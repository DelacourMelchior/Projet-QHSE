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CKPIT_HEBDO" sheetId="1" state="visible" r:id="rId1"/>
    <sheet xmlns:r="http://schemas.openxmlformats.org/officeDocument/2006/relationships" name="02_SUIVI_ANNUEL_M01_M12" sheetId="2" state="visible" r:id="rId2"/>
    <sheet xmlns:r="http://schemas.openxmlformats.org/officeDocument/2006/relationships" name="03_MATRICE_COMPETENCES_RH" sheetId="3" state="visible" r:id="rId3"/>
    <sheet xmlns:r="http://schemas.openxmlformats.org/officeDocument/2006/relationships" name="04_COUT_NON_QUALITE_EUR" sheetId="4" state="visible" r:id="rId4"/>
    <sheet xmlns:r="http://schemas.openxmlformats.org/officeDocument/2006/relationships" name="05_GUIDE_ET_PARAMET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€"/>
    <numFmt numFmtId="165" formatCode="0.0%"/>
    <numFmt numFmtId="166" formatCode="0.0"/>
    <numFmt numFmtId="167" formatCode="#,##0 €/h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0E0E0"/>
      <sz val="9"/>
    </font>
    <font>
      <name val="Segoe UI"/>
      <b val="1"/>
      <color rgb="001B4D3E"/>
      <sz val="9"/>
    </font>
    <font>
      <name val="Segoe UI"/>
      <color rgb="00113329"/>
      <sz val="9"/>
    </font>
    <font>
      <name val="Segoe UI"/>
      <b val="1"/>
      <color rgb="001B4D3E"/>
      <sz val="11"/>
    </font>
    <font>
      <name val="Segoe UI"/>
      <b val="1"/>
      <color rgb="00FFFFFF"/>
      <sz val="9"/>
    </font>
    <font>
      <name val="Segoe UI"/>
      <b val="1"/>
      <color rgb="00FFFFFF"/>
      <sz val="9.5"/>
    </font>
    <font>
      <name val="Segoe UI"/>
      <i val="1"/>
      <color rgb="00777777"/>
      <sz val="8"/>
    </font>
    <font>
      <name val="Segoe UI"/>
      <b val="1"/>
      <color rgb="00A82222"/>
      <sz val="9"/>
    </font>
  </fonts>
  <fills count="7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7F5F0"/>
        <bgColor rgb="00F7F5F0"/>
      </patternFill>
    </fill>
    <fill>
      <patternFill patternType="solid">
        <fgColor rgb="00E8F0EC"/>
        <bgColor rgb="00E8F0EC"/>
      </patternFill>
    </fill>
    <fill>
      <patternFill patternType="solid">
        <fgColor rgb="00C5A065"/>
        <bgColor rgb="00C5A065"/>
      </patternFill>
    </fill>
    <fill>
      <patternFill patternType="solid">
        <fgColor rgb="00A82222"/>
        <bgColor rgb="00A82222"/>
      </patternFill>
    </fill>
  </fills>
  <borders count="4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C5A065"/>
      </bottom>
    </border>
    <border>
      <top style="thin">
        <color rgb="00DDDDDD"/>
      </top>
      <bottom style="double">
        <color rgb="001B4D3E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6" fillId="2" borderId="2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5" borderId="0" applyAlignment="1" pivotButton="0" quotePrefix="0" xfId="0">
      <alignment horizontal="center" vertical="center"/>
    </xf>
    <xf numFmtId="0" fontId="8" fillId="0" borderId="0" pivotButton="0" quotePrefix="0" xfId="0"/>
    <xf numFmtId="166" fontId="4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right" vertical="center"/>
    </xf>
    <xf numFmtId="0" fontId="3" fillId="4" borderId="3" applyAlignment="1" pivotButton="0" quotePrefix="0" xfId="0">
      <alignment horizontal="right" vertical="center"/>
    </xf>
    <xf numFmtId="0" fontId="3" fillId="4" borderId="3" pivotButton="0" quotePrefix="0" xfId="0"/>
    <xf numFmtId="164" fontId="3" fillId="4" borderId="3" pivotButton="0" quotePrefix="0" xfId="0"/>
    <xf numFmtId="166" fontId="3" fillId="4" borderId="3" pivotButton="0" quotePrefix="0" xfId="0"/>
    <xf numFmtId="164" fontId="1" fillId="6" borderId="3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8" customWidth="1" min="3" max="3"/>
    <col width="16" customWidth="1" min="4" max="4"/>
    <col width="14" customWidth="1" min="5" max="5"/>
    <col width="18" customWidth="1" min="6" max="6"/>
    <col width="28" customWidth="1" min="7" max="7"/>
    <col width="38" customWidth="1" min="8" max="8"/>
  </cols>
  <sheetData>
    <row r="1" ht="28" customHeight="1">
      <c r="A1" s="1" t="inlineStr">
        <is>
          <t xml:space="preserve">  CABINET DELACOUR  •  COCKPIT HEBDOMADAIRE DES INDICATEURS CLÉS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 xml:space="preserve">  Rituel de pilotage de 15 minutes le lundi matin à 08h30 • 5 indicateurs vitaux • 1 arbitrage d'action</t>
        </is>
      </c>
      <c r="B2" s="2" t="n"/>
      <c r="C2" s="2" t="n"/>
      <c r="D2" s="2" t="n"/>
      <c r="E2" s="2" t="n"/>
      <c r="F2" s="2" t="n"/>
      <c r="G2" s="2" t="n"/>
      <c r="H2" s="2" t="n"/>
    </row>
    <row r="4" ht="22" customHeight="1">
      <c r="A4" s="4" t="inlineStr">
        <is>
          <t>Semaine Évaluée :</t>
        </is>
      </c>
      <c r="B4" s="5" t="inlineStr">
        <is>
          <t>Semaine S-38</t>
        </is>
      </c>
      <c r="C4" s="4" t="inlineStr">
        <is>
          <t>Date du Cockpit :</t>
        </is>
      </c>
      <c r="D4" s="5" t="inlineStr">
        <is>
          <t>Lundi 08h30</t>
        </is>
      </c>
      <c r="E4" s="4" t="inlineStr">
        <is>
          <t>Participants :</t>
        </is>
      </c>
      <c r="F4" s="5" t="inlineStr">
        <is>
          <t>DG, Commercial, Atelier, Qualité/RH</t>
        </is>
      </c>
    </row>
    <row r="6">
      <c r="A6" s="6" t="inlineStr">
        <is>
          <t>1. RELEVÉ DES 5 INDICATEURS CLÉS PAR PROCESSUS</t>
        </is>
      </c>
    </row>
    <row r="7" ht="24" customHeight="1">
      <c r="A7" s="7" t="inlineStr">
        <is>
          <t>PROCESSUS</t>
        </is>
      </c>
      <c r="B7" s="7" t="inlineStr">
        <is>
          <t>INDICATEUR HEBDOMADAIRE CLÉ</t>
        </is>
      </c>
      <c r="C7" s="8" t="inlineStr">
        <is>
          <t>VALEUR SEMAINE S</t>
        </is>
      </c>
      <c r="D7" s="8" t="inlineStr">
        <is>
          <t>SEUIL ALERTE 🔴</t>
        </is>
      </c>
      <c r="E7" s="8" t="inlineStr">
        <is>
          <t>TENDANCE</t>
        </is>
      </c>
      <c r="F7" s="8" t="inlineStr">
        <is>
          <t>STATUT DYNAMIQUE</t>
        </is>
      </c>
      <c r="G7" s="7" t="inlineStr">
        <is>
          <t>IMPACT OPÉRATIONNEL</t>
        </is>
      </c>
      <c r="H7" s="7" t="inlineStr">
        <is>
          <t>POINT D'ATTENTION DU PILOTE</t>
        </is>
      </c>
    </row>
    <row r="8" ht="22" customHeight="1">
      <c r="A8" s="9" t="inlineStr">
        <is>
          <t>P1 Direction &amp; Finance</t>
        </is>
      </c>
      <c r="B8" s="10" t="inlineStr">
        <is>
          <t>Solde bancaire net disponible (€)</t>
        </is>
      </c>
      <c r="C8" s="11" t="n">
        <v>68500</v>
      </c>
      <c r="D8" s="11" t="n">
        <v>50000</v>
      </c>
      <c r="E8" s="12" t="inlineStr">
        <is>
          <t>Stable ➔</t>
        </is>
      </c>
      <c r="F8" s="12">
        <f>IF(C8="","",IF(C8&lt;D8,"🔴 ALERTE","🟢 CONFORME"))</f>
        <v/>
      </c>
      <c r="G8" s="10" t="inlineStr">
        <is>
          <t>Trésorerie saine</t>
        </is>
      </c>
      <c r="H8" s="10" t="inlineStr">
        <is>
          <t>Relance créances clients échues à +30 jours</t>
        </is>
      </c>
    </row>
    <row r="9" ht="22" customHeight="1">
      <c r="A9" s="13" t="inlineStr">
        <is>
          <t>P2 Marketing &amp; Ventes</t>
        </is>
      </c>
      <c r="B9" s="14" t="inlineStr">
        <is>
          <t>Taux de transformation devis (%)</t>
        </is>
      </c>
      <c r="C9" s="15" t="n">
        <v>0.38</v>
      </c>
      <c r="D9" s="15" t="n">
        <v>0.3</v>
      </c>
      <c r="E9" s="16" t="inlineStr">
        <is>
          <t>Hausse ↗</t>
        </is>
      </c>
      <c r="F9" s="16">
        <f>IF(C9="","",IF(C9&lt;D9,"🔴 ALERTE","🟢 CONFORME"))</f>
        <v/>
      </c>
      <c r="G9" s="14" t="inlineStr">
        <is>
          <t>Activité commerciale vive</t>
        </is>
      </c>
      <c r="H9" s="14" t="inlineStr">
        <is>
          <t>3 devis chauds à closer avant mercredi</t>
        </is>
      </c>
    </row>
    <row r="10" ht="22" customHeight="1">
      <c r="A10" s="9" t="inlineStr">
        <is>
          <t>P3 R&amp;D &amp; Atelier</t>
        </is>
      </c>
      <c r="B10" s="10" t="inlineStr">
        <is>
          <t>Commandes en retard de plus de 48h</t>
        </is>
      </c>
      <c r="C10" s="17" t="n">
        <v>1</v>
      </c>
      <c r="D10" s="17" t="n">
        <v>2</v>
      </c>
      <c r="E10" s="12" t="inlineStr">
        <is>
          <t>Baisse ↘</t>
        </is>
      </c>
      <c r="F10" s="12">
        <f>IF(C10="","",IF(C10&gt;D10,"🔴 ALERTE","🟢 CONFORME"))</f>
        <v/>
      </c>
      <c r="G10" s="10" t="inlineStr">
        <is>
          <t>Charge atelier maîtrisée</t>
        </is>
      </c>
      <c r="H10" s="10" t="inlineStr">
        <is>
          <t>Attente matière spéciale sur affaire Beta</t>
        </is>
      </c>
    </row>
    <row r="11" ht="22" customHeight="1">
      <c r="A11" s="13" t="inlineStr">
        <is>
          <t>P4 RH &amp; Organisation</t>
        </is>
      </c>
      <c r="B11" s="14" t="inlineStr">
        <is>
          <t>Taux de présence effectif (%)</t>
        </is>
      </c>
      <c r="C11" s="15" t="n">
        <v>0.9399999999999999</v>
      </c>
      <c r="D11" s="15" t="n">
        <v>0.9</v>
      </c>
      <c r="E11" s="16" t="inlineStr">
        <is>
          <t>Stable ➔</t>
        </is>
      </c>
      <c r="F11" s="16">
        <f>IF(C11="","",IF(C11&lt;D11,"🔴 ALERTE","🟢 CONFORME"))</f>
        <v/>
      </c>
      <c r="G11" s="14" t="inlineStr">
        <is>
          <t>Ressources suffisantes</t>
        </is>
      </c>
      <c r="H11" s="14" t="inlineStr">
        <is>
          <t>Retour d'arrêt maladie prévu jeudi</t>
        </is>
      </c>
    </row>
    <row r="12" ht="22" customHeight="1">
      <c r="A12" s="9" t="inlineStr">
        <is>
          <t>P5 Qualité &amp; Sécurité</t>
        </is>
      </c>
      <c r="B12" s="10" t="inlineStr">
        <is>
          <t>Coût rebuts &amp; retouches semaine (€)</t>
        </is>
      </c>
      <c r="C12" s="11" t="n">
        <v>1250</v>
      </c>
      <c r="D12" s="11" t="n">
        <v>1500</v>
      </c>
      <c r="E12" s="12" t="inlineStr">
        <is>
          <t>Baisse ↘</t>
        </is>
      </c>
      <c r="F12" s="12">
        <f>IF(C12="","",IF(C12&gt;D12,"🔴 ALERTE","🟢 CONFORME"))</f>
        <v/>
      </c>
      <c r="G12" s="10" t="inlineStr">
        <is>
          <t>Sous le plafond toléré</t>
        </is>
      </c>
      <c r="H12" s="10" t="inlineStr">
        <is>
          <t>Fiche 5 Pourquoi clôturée sur perçage</t>
        </is>
      </c>
    </row>
    <row r="15">
      <c r="A15" s="6" t="inlineStr">
        <is>
          <t>2. L'ARBITRAGE MAJEUR DE LA SEMAINE (1 PROBLÈME = 1 DÉCISION = 1 PILOTE = VENDREDI 17H)</t>
        </is>
      </c>
    </row>
    <row r="16" ht="24" customHeight="1">
      <c r="A16" s="7" t="inlineStr">
        <is>
          <t>PROCESSUS</t>
        </is>
      </c>
      <c r="B16" s="7" t="inlineStr">
        <is>
          <t>PROBLÈME MAJEUR IDENTIFIÉ</t>
        </is>
      </c>
      <c r="C16" s="7" t="inlineStr">
        <is>
          <t>DÉCISION D'ARBITRAGE FERME DE LA DIRECTION</t>
        </is>
      </c>
      <c r="D16" s="8" t="inlineStr">
        <is>
          <t>PILOTE DÉSIGNÉ</t>
        </is>
      </c>
      <c r="E16" s="8" t="inlineStr">
        <is>
          <t>ÉCHÉANCE</t>
        </is>
      </c>
      <c r="F16" s="8" t="inlineStr">
        <is>
          <t>STATUT ACTION</t>
        </is>
      </c>
      <c r="G16" s="7" t="inlineStr">
        <is>
          <t>RÉSULTAT ATTENDU</t>
        </is>
      </c>
      <c r="H16" s="8" t="inlineStr">
        <is>
          <t>VISA DIRECTION</t>
        </is>
      </c>
    </row>
    <row r="17" ht="24" customHeight="1">
      <c r="A17" s="13" t="inlineStr">
        <is>
          <t>P3 R&amp;D &amp; Atelier</t>
        </is>
      </c>
      <c r="B17" s="14" t="inlineStr">
        <is>
          <t>Risque de retard livraison Client Alpha suite rupture outillage</t>
        </is>
      </c>
      <c r="C17" s="14" t="inlineStr">
        <is>
          <t>Achat outillage en express (frais validés 180 €) + réordonnancement du planning mardi matin</t>
        </is>
      </c>
      <c r="D17" s="16" t="inlineStr">
        <is>
          <t>Chef d'Atelier</t>
        </is>
      </c>
      <c r="E17" s="16" t="inlineStr">
        <is>
          <t>Jeudi 12h</t>
        </is>
      </c>
      <c r="F17" s="16" t="inlineStr">
        <is>
          <t>🟢 EN COURS</t>
        </is>
      </c>
      <c r="G17" s="14" t="inlineStr">
        <is>
          <t>Zéro retard client</t>
        </is>
      </c>
      <c r="H17" s="16" t="inlineStr">
        <is>
          <t>Validé DG</t>
        </is>
      </c>
    </row>
    <row r="18" ht="24" customHeight="1">
      <c r="A18" s="9" t="inlineStr">
        <is>
          <t>P2 Marketing &amp; Ventes</t>
        </is>
      </c>
      <c r="B18" s="10" t="inlineStr">
        <is>
          <t>Relance des 3 gros devis en attente &gt; 15 jours</t>
        </is>
      </c>
      <c r="C18" s="10" t="inlineStr">
        <is>
          <t>Appel direct du dirigeant auprès des 3 donneurs d'ordre pour négocier la signature</t>
        </is>
      </c>
      <c r="D18" s="12" t="inlineStr">
        <is>
          <t>Dirigeant</t>
        </is>
      </c>
      <c r="E18" s="12" t="inlineStr">
        <is>
          <t>Vendredi 17h</t>
        </is>
      </c>
      <c r="F18" s="12" t="inlineStr">
        <is>
          <t>🟢 EN COURS</t>
        </is>
      </c>
      <c r="G18" s="10" t="inlineStr">
        <is>
          <t>2 devis signés visés</t>
        </is>
      </c>
      <c r="H18" s="12" t="inlineStr">
        <is>
          <t>Validé DG</t>
        </is>
      </c>
    </row>
    <row r="20">
      <c r="A20" s="18" t="inlineStr">
        <is>
          <t xml:space="preserve">  RÈGLE D'OR DU DIRIGEANT : « 15 minutes debout le lundi matin sur les 5 chiffres évitent 15 heures de gestion de crise le vendredi après-midi. Zéro débat technique, 1 décision ferme. »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</sheetData>
  <mergeCells count="3">
    <mergeCell ref="A2:H2"/>
    <mergeCell ref="A20:H2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8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5" customWidth="1" min="18" max="18"/>
    <col width="15" customWidth="1" min="19" max="19"/>
  </cols>
  <sheetData>
    <row r="1" ht="28" customHeight="1">
      <c r="A1" s="1" t="inlineStr">
        <is>
          <t xml:space="preserve">  CABINET DELACOUR  •  TABLEAU DE BORD ANNUEL DES OBJECTIFS PAR PROCESSUS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 xml:space="preserve">  La boussole stratégique des 5 macro-processus • 2 indicateurs d'équilibre (Moteur &amp; Garde-fou) • Suivi Janvier à Décembre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4" ht="24" customHeight="1">
      <c r="A4" s="8" t="inlineStr">
        <is>
          <t>PROC.</t>
        </is>
      </c>
      <c r="B4" s="8" t="inlineStr">
        <is>
          <t>INDICATEUR STRATÉGIQUE</t>
        </is>
      </c>
      <c r="C4" s="8" t="inlineStr">
        <is>
          <t>TYPE</t>
        </is>
      </c>
      <c r="D4" s="8" t="inlineStr">
        <is>
          <t>UNITÉ</t>
        </is>
      </c>
      <c r="E4" s="8" t="inlineStr">
        <is>
          <t>CIBLE N</t>
        </is>
      </c>
      <c r="F4" s="8" t="inlineStr">
        <is>
          <t>JAN</t>
        </is>
      </c>
      <c r="G4" s="8" t="inlineStr">
        <is>
          <t>FÉV</t>
        </is>
      </c>
      <c r="H4" s="8" t="inlineStr">
        <is>
          <t>MAR</t>
        </is>
      </c>
      <c r="I4" s="8" t="inlineStr">
        <is>
          <t>AVR</t>
        </is>
      </c>
      <c r="J4" s="8" t="inlineStr">
        <is>
          <t>MAI</t>
        </is>
      </c>
      <c r="K4" s="8" t="inlineStr">
        <is>
          <t>JUIN</t>
        </is>
      </c>
      <c r="L4" s="8" t="inlineStr">
        <is>
          <t>JUIL</t>
        </is>
      </c>
      <c r="M4" s="8" t="inlineStr">
        <is>
          <t>AOÛT</t>
        </is>
      </c>
      <c r="N4" s="8" t="inlineStr">
        <is>
          <t>SEPT</t>
        </is>
      </c>
      <c r="O4" s="8" t="inlineStr">
        <is>
          <t>OCT</t>
        </is>
      </c>
      <c r="P4" s="8" t="inlineStr">
        <is>
          <t>NOV</t>
        </is>
      </c>
      <c r="Q4" s="8" t="inlineStr">
        <is>
          <t>DÉC</t>
        </is>
      </c>
      <c r="R4" s="8" t="inlineStr">
        <is>
          <t>MOY. / CUMUL</t>
        </is>
      </c>
      <c r="S4" s="8" t="inlineStr">
        <is>
          <t>TAUX ATTEINTE</t>
        </is>
      </c>
    </row>
    <row r="5" ht="21" customHeight="1">
      <c r="A5" s="19" t="inlineStr">
        <is>
          <t>P1</t>
        </is>
      </c>
      <c r="B5" s="13" t="inlineStr">
        <is>
          <t>Chiffre d'Affaires Facturé</t>
        </is>
      </c>
      <c r="C5" s="16" t="inlineStr">
        <is>
          <t>Moteur</t>
        </is>
      </c>
      <c r="D5" s="16" t="inlineStr">
        <is>
          <t>€</t>
        </is>
      </c>
      <c r="E5" s="20" t="n">
        <v>3500000</v>
      </c>
      <c r="F5" s="20" t="n">
        <v>280000</v>
      </c>
      <c r="G5" s="20" t="n">
        <v>295000</v>
      </c>
      <c r="H5" s="20" t="n">
        <v>310000</v>
      </c>
      <c r="I5" s="20" t="n">
        <v>305000</v>
      </c>
      <c r="J5" s="20" t="n">
        <v>320000</v>
      </c>
      <c r="K5" s="20" t="n">
        <v>315000</v>
      </c>
      <c r="L5" s="20" t="n">
        <v>290000</v>
      </c>
      <c r="M5" s="20" t="n">
        <v>180000</v>
      </c>
      <c r="N5" s="20" t="n">
        <v>330000</v>
      </c>
      <c r="O5" s="21" t="n"/>
      <c r="P5" s="21" t="n"/>
      <c r="Q5" s="21" t="n"/>
      <c r="R5" s="22">
        <f>SUM(F5:Q5)</f>
        <v/>
      </c>
      <c r="S5" s="23">
        <f>R5/E5</f>
        <v/>
      </c>
    </row>
    <row r="6" ht="21" customHeight="1">
      <c r="A6" s="24" t="inlineStr">
        <is>
          <t>P1</t>
        </is>
      </c>
      <c r="B6" s="9" t="inlineStr">
        <is>
          <t>Taux de Marge Brute Globale</t>
        </is>
      </c>
      <c r="C6" s="12" t="inlineStr">
        <is>
          <t>Garde-fou</t>
        </is>
      </c>
      <c r="D6" s="12" t="inlineStr">
        <is>
          <t>%</t>
        </is>
      </c>
      <c r="E6" s="25" t="n">
        <v>0.42</v>
      </c>
      <c r="F6" s="25" t="n">
        <v>0.415</v>
      </c>
      <c r="G6" s="25" t="n">
        <v>0.422</v>
      </c>
      <c r="H6" s="25" t="n">
        <v>0.428</v>
      </c>
      <c r="I6" s="25" t="n">
        <v>0.419</v>
      </c>
      <c r="J6" s="25" t="n">
        <v>0.431</v>
      </c>
      <c r="K6" s="25" t="n">
        <v>0.425</v>
      </c>
      <c r="L6" s="25" t="n">
        <v>0.418</v>
      </c>
      <c r="M6" s="25" t="n">
        <v>0.42</v>
      </c>
      <c r="N6" s="25" t="n">
        <v>0.435</v>
      </c>
      <c r="O6" s="26" t="n"/>
      <c r="P6" s="26" t="n"/>
      <c r="Q6" s="26" t="n"/>
      <c r="R6" s="27">
        <f>AVERAGE(F6:Q6)</f>
        <v/>
      </c>
      <c r="S6" s="28">
        <f>R6/E6</f>
        <v/>
      </c>
    </row>
    <row r="7" ht="21" customHeight="1">
      <c r="A7" s="19" t="inlineStr">
        <is>
          <t>P2</t>
        </is>
      </c>
      <c r="B7" s="13" t="inlineStr">
        <is>
          <t>Montant des Devis Nouveaux Signés</t>
        </is>
      </c>
      <c r="C7" s="16" t="inlineStr">
        <is>
          <t>Moteur</t>
        </is>
      </c>
      <c r="D7" s="16" t="inlineStr">
        <is>
          <t>€</t>
        </is>
      </c>
      <c r="E7" s="20" t="n">
        <v>3800000</v>
      </c>
      <c r="F7" s="20" t="n">
        <v>310000</v>
      </c>
      <c r="G7" s="20" t="n">
        <v>325000</v>
      </c>
      <c r="H7" s="20" t="n">
        <v>340000</v>
      </c>
      <c r="I7" s="20" t="n">
        <v>330000</v>
      </c>
      <c r="J7" s="20" t="n">
        <v>360000</v>
      </c>
      <c r="K7" s="20" t="n">
        <v>345000</v>
      </c>
      <c r="L7" s="20" t="n">
        <v>300000</v>
      </c>
      <c r="M7" s="20" t="n">
        <v>150000</v>
      </c>
      <c r="N7" s="20" t="n">
        <v>370000</v>
      </c>
      <c r="O7" s="21" t="n"/>
      <c r="P7" s="21" t="n"/>
      <c r="Q7" s="21" t="n"/>
      <c r="R7" s="22">
        <f>SUM(F7:Q7)</f>
        <v/>
      </c>
      <c r="S7" s="23">
        <f>R7/E7</f>
        <v/>
      </c>
    </row>
    <row r="8" ht="21" customHeight="1">
      <c r="A8" s="24" t="inlineStr">
        <is>
          <t>P2</t>
        </is>
      </c>
      <c r="B8" s="9" t="inlineStr">
        <is>
          <t>Taux de Réclamations Clients</t>
        </is>
      </c>
      <c r="C8" s="12" t="inlineStr">
        <is>
          <t>Garde-fou</t>
        </is>
      </c>
      <c r="D8" s="12" t="inlineStr">
        <is>
          <t>%</t>
        </is>
      </c>
      <c r="E8" s="25" t="n">
        <v>0.015</v>
      </c>
      <c r="F8" s="25" t="n">
        <v>0.012</v>
      </c>
      <c r="G8" s="25" t="n">
        <v>0.014</v>
      </c>
      <c r="H8" s="25" t="n">
        <v>0.011</v>
      </c>
      <c r="I8" s="25" t="n">
        <v>0.013</v>
      </c>
      <c r="J8" s="25" t="n">
        <v>0.01</v>
      </c>
      <c r="K8" s="25" t="n">
        <v>0.012</v>
      </c>
      <c r="L8" s="25" t="n">
        <v>0.015</v>
      </c>
      <c r="M8" s="25" t="n">
        <v>0.008999999999999999</v>
      </c>
      <c r="N8" s="25" t="n">
        <v>0.011</v>
      </c>
      <c r="O8" s="26" t="n"/>
      <c r="P8" s="26" t="n"/>
      <c r="Q8" s="26" t="n"/>
      <c r="R8" s="27">
        <f>AVERAGE(F8:Q8)</f>
        <v/>
      </c>
      <c r="S8" s="28">
        <f>IF(R8=0,1,E8/R8)</f>
        <v/>
      </c>
    </row>
    <row r="9" ht="21" customHeight="1">
      <c r="A9" s="19" t="inlineStr">
        <is>
          <t>P3</t>
        </is>
      </c>
      <c r="B9" s="13" t="inlineStr">
        <is>
          <t>Taux de Service &amp; Respect des Délais (OTIF)</t>
        </is>
      </c>
      <c r="C9" s="16" t="inlineStr">
        <is>
          <t>Moteur</t>
        </is>
      </c>
      <c r="D9" s="16" t="inlineStr">
        <is>
          <t>%</t>
        </is>
      </c>
      <c r="E9" s="29" t="n">
        <v>0.95</v>
      </c>
      <c r="F9" s="29" t="n">
        <v>0.9419999999999999</v>
      </c>
      <c r="G9" s="29" t="n">
        <v>0.951</v>
      </c>
      <c r="H9" s="29" t="n">
        <v>0.958</v>
      </c>
      <c r="I9" s="29" t="n">
        <v>0.947</v>
      </c>
      <c r="J9" s="29" t="n">
        <v>0.962</v>
      </c>
      <c r="K9" s="29" t="n">
        <v>0.955</v>
      </c>
      <c r="L9" s="29" t="n">
        <v>0.948</v>
      </c>
      <c r="M9" s="29" t="n">
        <v>0.95</v>
      </c>
      <c r="N9" s="29" t="n">
        <v>0.965</v>
      </c>
      <c r="O9" s="21" t="n"/>
      <c r="P9" s="21" t="n"/>
      <c r="Q9" s="21" t="n"/>
      <c r="R9" s="30">
        <f>AVERAGE(F9:Q9)</f>
        <v/>
      </c>
      <c r="S9" s="23">
        <f>R9/E9</f>
        <v/>
      </c>
    </row>
    <row r="10" ht="21" customHeight="1">
      <c r="A10" s="24" t="inlineStr">
        <is>
          <t>P3</t>
        </is>
      </c>
      <c r="B10" s="9" t="inlineStr">
        <is>
          <t>Retards Moyens Études &amp; Fabrication</t>
        </is>
      </c>
      <c r="C10" s="12" t="inlineStr">
        <is>
          <t>Garde-fou</t>
        </is>
      </c>
      <c r="D10" s="12" t="inlineStr">
        <is>
          <t>Jours</t>
        </is>
      </c>
      <c r="E10" s="31" t="n">
        <v>1.5</v>
      </c>
      <c r="F10" s="31" t="n">
        <v>1.8</v>
      </c>
      <c r="G10" s="31" t="n">
        <v>1.4</v>
      </c>
      <c r="H10" s="31" t="n">
        <v>1.2</v>
      </c>
      <c r="I10" s="31" t="n">
        <v>1.5</v>
      </c>
      <c r="J10" s="31" t="n">
        <v>1.1</v>
      </c>
      <c r="K10" s="31" t="n">
        <v>1.3</v>
      </c>
      <c r="L10" s="31" t="n">
        <v>1.6</v>
      </c>
      <c r="M10" s="31" t="n">
        <v>1.4</v>
      </c>
      <c r="N10" s="31" t="n">
        <v>1</v>
      </c>
      <c r="O10" s="26" t="n"/>
      <c r="P10" s="26" t="n"/>
      <c r="Q10" s="26" t="n"/>
      <c r="R10" s="32">
        <f>AVERAGE(F10:Q10)</f>
        <v/>
      </c>
      <c r="S10" s="28">
        <f>IF(R10=0,1,E10/R10)</f>
        <v/>
      </c>
    </row>
    <row r="11" ht="21" customHeight="1">
      <c r="A11" s="19" t="inlineStr">
        <is>
          <t>P4</t>
        </is>
      </c>
      <c r="B11" s="13" t="inlineStr">
        <is>
          <t>Taux de Polyvalence des Postes Clés</t>
        </is>
      </c>
      <c r="C11" s="16" t="inlineStr">
        <is>
          <t>Moteur</t>
        </is>
      </c>
      <c r="D11" s="16" t="inlineStr">
        <is>
          <t>%</t>
        </is>
      </c>
      <c r="E11" s="29" t="n">
        <v>0.85</v>
      </c>
      <c r="F11" s="29" t="n">
        <v>0.75</v>
      </c>
      <c r="G11" s="29" t="n">
        <v>0.76</v>
      </c>
      <c r="H11" s="29" t="n">
        <v>0.78</v>
      </c>
      <c r="I11" s="29" t="n">
        <v>0.8</v>
      </c>
      <c r="J11" s="29" t="n">
        <v>0.8100000000000001</v>
      </c>
      <c r="K11" s="29" t="n">
        <v>0.82</v>
      </c>
      <c r="L11" s="29" t="n">
        <v>0.83</v>
      </c>
      <c r="M11" s="29" t="n">
        <v>0.83</v>
      </c>
      <c r="N11" s="29" t="n">
        <v>0.85</v>
      </c>
      <c r="O11" s="21" t="n"/>
      <c r="P11" s="21" t="n"/>
      <c r="Q11" s="21" t="n"/>
      <c r="R11" s="30">
        <f>AVERAGE(F11:Q11)</f>
        <v/>
      </c>
      <c r="S11" s="23">
        <f>R11/E11</f>
        <v/>
      </c>
    </row>
    <row r="12" ht="21" customHeight="1">
      <c r="A12" s="24" t="inlineStr">
        <is>
          <t>P4</t>
        </is>
      </c>
      <c r="B12" s="9" t="inlineStr">
        <is>
          <t>Taux d'Absentéisme Imprévu</t>
        </is>
      </c>
      <c r="C12" s="12" t="inlineStr">
        <is>
          <t>Garde-fou</t>
        </is>
      </c>
      <c r="D12" s="12" t="inlineStr">
        <is>
          <t>%</t>
        </is>
      </c>
      <c r="E12" s="25" t="n">
        <v>0.04</v>
      </c>
      <c r="F12" s="25" t="n">
        <v>0.038</v>
      </c>
      <c r="G12" s="25" t="n">
        <v>0.042</v>
      </c>
      <c r="H12" s="25" t="n">
        <v>0.035</v>
      </c>
      <c r="I12" s="25" t="n">
        <v>0.039</v>
      </c>
      <c r="J12" s="25" t="n">
        <v>0.036</v>
      </c>
      <c r="K12" s="25" t="n">
        <v>0.034</v>
      </c>
      <c r="L12" s="25" t="n">
        <v>0.041</v>
      </c>
      <c r="M12" s="25" t="n">
        <v>0.032</v>
      </c>
      <c r="N12" s="25" t="n">
        <v>0.035</v>
      </c>
      <c r="O12" s="26" t="n"/>
      <c r="P12" s="26" t="n"/>
      <c r="Q12" s="26" t="n"/>
      <c r="R12" s="27">
        <f>AVERAGE(F12:Q12)</f>
        <v/>
      </c>
      <c r="S12" s="28">
        <f>IF(R12=0,1,E12/R12)</f>
        <v/>
      </c>
    </row>
    <row r="13" ht="21" customHeight="1">
      <c r="A13" s="19" t="inlineStr">
        <is>
          <t>P5</t>
        </is>
      </c>
      <c r="B13" s="13" t="inlineStr">
        <is>
          <t>Actions Correctives Clôturées à J+30</t>
        </is>
      </c>
      <c r="C13" s="16" t="inlineStr">
        <is>
          <t>Moteur</t>
        </is>
      </c>
      <c r="D13" s="16" t="inlineStr">
        <is>
          <t>%</t>
        </is>
      </c>
      <c r="E13" s="29" t="n">
        <v>0.9</v>
      </c>
      <c r="F13" s="29" t="n">
        <v>0.85</v>
      </c>
      <c r="G13" s="29" t="n">
        <v>0.88</v>
      </c>
      <c r="H13" s="29" t="n">
        <v>0.9</v>
      </c>
      <c r="I13" s="29" t="n">
        <v>0.92</v>
      </c>
      <c r="J13" s="29" t="n">
        <v>0.91</v>
      </c>
      <c r="K13" s="29" t="n">
        <v>0.93</v>
      </c>
      <c r="L13" s="29" t="n">
        <v>0.89</v>
      </c>
      <c r="M13" s="29" t="n">
        <v>0.9</v>
      </c>
      <c r="N13" s="29" t="n">
        <v>0.95</v>
      </c>
      <c r="O13" s="21" t="n"/>
      <c r="P13" s="21" t="n"/>
      <c r="Q13" s="21" t="n"/>
      <c r="R13" s="30">
        <f>AVERAGE(F13:Q13)</f>
        <v/>
      </c>
      <c r="S13" s="23">
        <f>R13/E13</f>
        <v/>
      </c>
    </row>
    <row r="14" ht="21" customHeight="1">
      <c r="A14" s="24" t="inlineStr">
        <is>
          <t>P5</t>
        </is>
      </c>
      <c r="B14" s="9" t="inlineStr">
        <is>
          <t>Coût de Non-Qualité / CA Facturé</t>
        </is>
      </c>
      <c r="C14" s="12" t="inlineStr">
        <is>
          <t>Garde-fou</t>
        </is>
      </c>
      <c r="D14" s="12" t="inlineStr">
        <is>
          <t>%</t>
        </is>
      </c>
      <c r="E14" s="25" t="n">
        <v>0.012</v>
      </c>
      <c r="F14" s="25" t="n">
        <v>0.015</v>
      </c>
      <c r="G14" s="25" t="n">
        <v>0.013</v>
      </c>
      <c r="H14" s="25" t="n">
        <v>0.011</v>
      </c>
      <c r="I14" s="25" t="n">
        <v>0.012</v>
      </c>
      <c r="J14" s="25" t="n">
        <v>0.01</v>
      </c>
      <c r="K14" s="25" t="n">
        <v>0.011</v>
      </c>
      <c r="L14" s="25" t="n">
        <v>0.014</v>
      </c>
      <c r="M14" s="25" t="n">
        <v>0.01</v>
      </c>
      <c r="N14" s="25" t="n">
        <v>0.008999999999999999</v>
      </c>
      <c r="O14" s="26" t="n"/>
      <c r="P14" s="26" t="n"/>
      <c r="Q14" s="26" t="n"/>
      <c r="R14" s="27">
        <f>AVERAGE(F14:Q14)</f>
        <v/>
      </c>
      <c r="S14" s="28">
        <f>IF(R14=0,1,E14/R14)</f>
        <v/>
      </c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6" customWidth="1" min="9" max="9"/>
    <col width="20" customWidth="1" min="10" max="10"/>
    <col width="20" customWidth="1" min="11" max="11"/>
  </cols>
  <sheetData>
    <row r="1" ht="28" customHeight="1">
      <c r="A1" s="1" t="inlineStr">
        <is>
          <t xml:space="preserve">  CABINET DELACOUR  •  MATRICE DE POLYVALENCE &amp; DOUBLAGE DES POSTES CLÉS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8" customHeight="1">
      <c r="A2" s="3" t="inlineStr">
        <is>
          <t xml:space="preserve">  Cartographie des savoir-faire stratégiques • Détection automatique des Hommes-Clés sans doublure 🔴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4" ht="20" customHeight="1">
      <c r="A4" s="33" t="inlineStr">
        <is>
          <t xml:space="preserve">  BARÈME D'ÉVALUATION :  0 = Ne sait pas faire  |  1 = Notions (en observation)  |  2 = Autonome sous supervision  |  3 = Parfaitement autonome  |  4 = Expert / Référent formateur</t>
        </is>
      </c>
    </row>
    <row r="6" ht="30" customHeight="1">
      <c r="A6" s="8" t="inlineStr">
        <is>
          <t>PROCESSUS</t>
        </is>
      </c>
      <c r="B6" s="8" t="inlineStr">
        <is>
          <t>POSTE OU SAVOIR-FAIRE CRITIQUE</t>
        </is>
      </c>
      <c r="C6" s="8" t="inlineStr">
        <is>
          <t>Salarié A
(Expert)</t>
        </is>
      </c>
      <c r="D6" s="8" t="inlineStr">
        <is>
          <t>Salarié B
(Technicien)</t>
        </is>
      </c>
      <c r="E6" s="8" t="inlineStr">
        <is>
          <t>Salarié C
(Opérateur)</t>
        </is>
      </c>
      <c r="F6" s="8" t="inlineStr">
        <is>
          <t>Salarié D
(Polyvalent)</t>
        </is>
      </c>
      <c r="G6" s="8" t="inlineStr">
        <is>
          <t>Salarié E
(Apprenti)</t>
        </is>
      </c>
      <c r="H6" s="8" t="inlineStr">
        <is>
          <t>NB AUTONOMES
(NIVEAU &gt;= 3)</t>
        </is>
      </c>
      <c r="I6" s="8" t="inlineStr">
        <is>
          <t>DIAGNOSTIC HOMME-CLÉ</t>
        </is>
      </c>
      <c r="J6" s="8" t="inlineStr">
        <is>
          <t>DOUBLURE DÉSIGNÉE</t>
        </is>
      </c>
      <c r="K6" s="8" t="inlineStr">
        <is>
          <t>PLAN FORMATION (H/SEM)</t>
        </is>
      </c>
    </row>
    <row r="7" ht="22" customHeight="1">
      <c r="A7" s="13" t="inlineStr">
        <is>
          <t>P1 Direction</t>
        </is>
      </c>
      <c r="B7" s="13" t="inlineStr">
        <is>
          <t>Gestion trésorerie &amp; validation virements bancaires</t>
        </is>
      </c>
      <c r="C7" s="16" t="n">
        <v>4</v>
      </c>
      <c r="D7" s="16" t="n">
        <v>1</v>
      </c>
      <c r="E7" s="16" t="n">
        <v>0</v>
      </c>
      <c r="F7" s="16" t="n">
        <v>3</v>
      </c>
      <c r="G7" s="16" t="n">
        <v>0</v>
      </c>
      <c r="H7" s="19">
        <f>COUNTIF(C7:G7, "&gt;=3")</f>
        <v/>
      </c>
      <c r="I7" s="19">
        <f>IF(H7=1, "🔴 HOMME-CLÉ UNIQUE", IF(H7=2, "🟡 VULNÉRABLE (1 DOUBLURE)", "🟢 SÉCURISÉ"))</f>
        <v/>
      </c>
      <c r="J7" s="16" t="inlineStr">
        <is>
          <t>Salarié D</t>
        </is>
      </c>
      <c r="K7" s="16" t="inlineStr">
        <is>
          <t>1h / mois</t>
        </is>
      </c>
    </row>
    <row r="8" ht="22" customHeight="1">
      <c r="A8" s="9" t="inlineStr">
        <is>
          <t>P2 Commercial</t>
        </is>
      </c>
      <c r="B8" s="9" t="inlineStr">
        <is>
          <t>Chiffrage devis complexes &amp; calcul des marges</t>
        </is>
      </c>
      <c r="C8" s="12" t="n">
        <v>3</v>
      </c>
      <c r="D8" s="12" t="n">
        <v>4</v>
      </c>
      <c r="E8" s="12" t="n">
        <v>1</v>
      </c>
      <c r="F8" s="12" t="n">
        <v>1</v>
      </c>
      <c r="G8" s="12" t="n">
        <v>0</v>
      </c>
      <c r="H8" s="24">
        <f>COUNTIF(C8:G8, "&gt;=3")</f>
        <v/>
      </c>
      <c r="I8" s="24">
        <f>IF(H8=1, "🔴 HOMME-CLÉ UNIQUE", IF(H8=2, "🟡 VULNÉRABLE (1 DOUBLURE)", "🟢 SÉCURISÉ"))</f>
        <v/>
      </c>
      <c r="J8" s="12" t="inlineStr">
        <is>
          <t>Sécurisé</t>
        </is>
      </c>
      <c r="K8" s="12" t="inlineStr">
        <is>
          <t>Autonomie OK</t>
        </is>
      </c>
    </row>
    <row r="9" ht="22" customHeight="1">
      <c r="A9" s="13" t="inlineStr">
        <is>
          <t>P3 R&amp;D / Bureau</t>
        </is>
      </c>
      <c r="B9" s="13" t="inlineStr">
        <is>
          <t>Modélisation CFAO &amp; programmation découpe laser</t>
        </is>
      </c>
      <c r="C9" s="16" t="n">
        <v>4</v>
      </c>
      <c r="D9" s="16" t="n">
        <v>1</v>
      </c>
      <c r="E9" s="16" t="n">
        <v>0</v>
      </c>
      <c r="F9" s="16" t="n">
        <v>0</v>
      </c>
      <c r="G9" s="16" t="n">
        <v>0</v>
      </c>
      <c r="H9" s="19">
        <f>COUNTIF(C9:G9, "&gt;=3")</f>
        <v/>
      </c>
      <c r="I9" s="19">
        <f>IF(H9=1, "🔴 HOMME-CLÉ UNIQUE", IF(H9=2, "🟡 VULNÉRABLE (1 DOUBLURE)", "🟢 SÉCURISÉ"))</f>
        <v/>
      </c>
      <c r="J9" s="16" t="inlineStr">
        <is>
          <t>Salarié B</t>
        </is>
      </c>
      <c r="K9" s="16" t="inlineStr">
        <is>
          <t>2h / semaine</t>
        </is>
      </c>
    </row>
    <row r="10" ht="22" customHeight="1">
      <c r="A10" s="9" t="inlineStr">
        <is>
          <t>P3 Opérations</t>
        </is>
      </c>
      <c r="B10" s="9" t="inlineStr">
        <is>
          <t>Réglage &amp; conduite centre d'usinage 5 axes</t>
        </is>
      </c>
      <c r="C10" s="12" t="n">
        <v>2</v>
      </c>
      <c r="D10" s="12" t="n">
        <v>4</v>
      </c>
      <c r="E10" s="12" t="n">
        <v>3</v>
      </c>
      <c r="F10" s="12" t="n">
        <v>1</v>
      </c>
      <c r="G10" s="12" t="n">
        <v>0</v>
      </c>
      <c r="H10" s="24">
        <f>COUNTIF(C10:G10, "&gt;=3")</f>
        <v/>
      </c>
      <c r="I10" s="24">
        <f>IF(H10=1, "🔴 HOMME-CLÉ UNIQUE", IF(H10=2, "🟡 VULNÉRABLE (1 DOUBLURE)", "🟢 SÉCURISÉ"))</f>
        <v/>
      </c>
      <c r="J10" s="12" t="inlineStr">
        <is>
          <t>Sécurisé</t>
        </is>
      </c>
      <c r="K10" s="12" t="inlineStr">
        <is>
          <t>Autonomie OK</t>
        </is>
      </c>
    </row>
    <row r="11" ht="22" customHeight="1">
      <c r="A11" s="13" t="inlineStr">
        <is>
          <t>P3 Opérations</t>
        </is>
      </c>
      <c r="B11" s="13" t="inlineStr">
        <is>
          <t>Soudure TIG haute précision sous gaz neutre</t>
        </is>
      </c>
      <c r="C11" s="16" t="n">
        <v>1</v>
      </c>
      <c r="D11" s="16" t="n">
        <v>0</v>
      </c>
      <c r="E11" s="16" t="n">
        <v>4</v>
      </c>
      <c r="F11" s="16" t="n">
        <v>0</v>
      </c>
      <c r="G11" s="16" t="n">
        <v>0</v>
      </c>
      <c r="H11" s="19">
        <f>COUNTIF(C11:G11, "&gt;=3")</f>
        <v/>
      </c>
      <c r="I11" s="19">
        <f>IF(H11=1, "🔴 HOMME-CLÉ UNIQUE", IF(H11=2, "🟡 VULNÉRABLE (1 DOUBLURE)", "🟢 SÉCURISÉ"))</f>
        <v/>
      </c>
      <c r="J11" s="16" t="inlineStr">
        <is>
          <t>Salarié A</t>
        </is>
      </c>
      <c r="K11" s="16" t="inlineStr">
        <is>
          <t>3h / semaine</t>
        </is>
      </c>
    </row>
    <row r="12" ht="22" customHeight="1">
      <c r="A12" s="9" t="inlineStr">
        <is>
          <t>P4 RH &amp; Sécurité</t>
        </is>
      </c>
      <c r="B12" s="9" t="inlineStr">
        <is>
          <t>Gestion des paies &amp; déclarations sociales</t>
        </is>
      </c>
      <c r="C12" s="12" t="n">
        <v>4</v>
      </c>
      <c r="D12" s="12" t="n">
        <v>0</v>
      </c>
      <c r="E12" s="12" t="n">
        <v>0</v>
      </c>
      <c r="F12" s="12" t="n">
        <v>3</v>
      </c>
      <c r="G12" s="12" t="n">
        <v>0</v>
      </c>
      <c r="H12" s="24">
        <f>COUNTIF(C12:G12, "&gt;=3")</f>
        <v/>
      </c>
      <c r="I12" s="24">
        <f>IF(H12=1, "🔴 HOMME-CLÉ UNIQUE", IF(H12=2, "🟡 VULNÉRABLE (1 DOUBLURE)", "🟢 SÉCURISÉ"))</f>
        <v/>
      </c>
      <c r="J12" s="12" t="inlineStr">
        <is>
          <t>Salarié D</t>
        </is>
      </c>
      <c r="K12" s="12" t="inlineStr">
        <is>
          <t>2h / mois</t>
        </is>
      </c>
    </row>
    <row r="13" ht="22" customHeight="1">
      <c r="A13" s="13" t="inlineStr">
        <is>
          <t>P5 Qualité</t>
        </is>
      </c>
      <c r="B13" s="13" t="inlineStr">
        <is>
          <t>Contrôle tridimensionnel &amp; validation PV 95/5</t>
        </is>
      </c>
      <c r="C13" s="16" t="n">
        <v>3</v>
      </c>
      <c r="D13" s="16" t="n">
        <v>3</v>
      </c>
      <c r="E13" s="16" t="n">
        <v>2</v>
      </c>
      <c r="F13" s="16" t="n">
        <v>4</v>
      </c>
      <c r="G13" s="16" t="n">
        <v>1</v>
      </c>
      <c r="H13" s="19">
        <f>COUNTIF(C13:G13, "&gt;=3")</f>
        <v/>
      </c>
      <c r="I13" s="19">
        <f>IF(H13=1, "🔴 HOMME-CLÉ UNIQUE", IF(H13=2, "🟡 VULNÉRABLE (1 DOUBLURE)", "🟢 SÉCURISÉ"))</f>
        <v/>
      </c>
      <c r="J13" s="16" t="inlineStr">
        <is>
          <t>Sécurisé</t>
        </is>
      </c>
      <c r="K13" s="16" t="inlineStr">
        <is>
          <t>Autonomie OK</t>
        </is>
      </c>
    </row>
    <row r="14" ht="22" customHeight="1">
      <c r="A14" s="9" t="inlineStr">
        <is>
          <t>P5 Qualité</t>
        </is>
      </c>
      <c r="B14" s="9" t="inlineStr">
        <is>
          <t>Animation atelier 5 Pourquoi &amp; pose détrompeur</t>
        </is>
      </c>
      <c r="C14" s="12" t="n">
        <v>4</v>
      </c>
      <c r="D14" s="12" t="n">
        <v>2</v>
      </c>
      <c r="E14" s="12" t="n">
        <v>1</v>
      </c>
      <c r="F14" s="12" t="n">
        <v>3</v>
      </c>
      <c r="G14" s="12" t="n">
        <v>0</v>
      </c>
      <c r="H14" s="24">
        <f>COUNTIF(C14:G14, "&gt;=3")</f>
        <v/>
      </c>
      <c r="I14" s="24">
        <f>IF(H14=1, "🔴 HOMME-CLÉ UNIQUE", IF(H14=2, "🟡 VULNÉRABLE (1 DOUBLURE)", "🟢 SÉCURISÉ"))</f>
        <v/>
      </c>
      <c r="J14" s="12" t="inlineStr">
        <is>
          <t>Sécurisé</t>
        </is>
      </c>
      <c r="K14" s="12" t="inlineStr">
        <is>
          <t>Autonomie OK</t>
        </is>
      </c>
    </row>
  </sheetData>
  <mergeCells count="3">
    <mergeCell ref="A4:M4"/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8" customWidth="1" min="3" max="3"/>
    <col width="22" customWidth="1" min="4" max="4"/>
    <col width="16" customWidth="1" min="5" max="5"/>
    <col width="14" customWidth="1" min="6" max="6"/>
    <col width="14" customWidth="1" min="7" max="7"/>
    <col width="14" customWidth="1" min="8" max="8"/>
    <col width="18" customWidth="1" min="9" max="9"/>
    <col width="20" customWidth="1" min="10" max="10"/>
    <col width="26" customWidth="1" min="11" max="11"/>
  </cols>
  <sheetData>
    <row r="1" ht="28" customHeight="1">
      <c r="A1" s="1" t="inlineStr">
        <is>
          <t xml:space="preserve">  CABINET DELACOUR  •  CALCULATEUR MINUTE DU COÛT DE NON-QUALITÉ EN EUROS (€)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 xml:space="preserve">  Valorisation financière directe des rebuts, retouches et litiges • Imputation analytique par processus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 ht="20" customHeight="1">
      <c r="A4" s="34" t="inlineStr">
        <is>
          <t>Taux Horaire MO Retouche Valorisé :</t>
        </is>
      </c>
      <c r="B4" s="35" t="n">
        <v>55</v>
      </c>
      <c r="C4" s="36" t="inlineStr">
        <is>
          <t>Coût standard main-d'œuvre atelier chargée pour retouche</t>
        </is>
      </c>
    </row>
    <row r="6" ht="26" customHeight="1">
      <c r="A6" s="8" t="inlineStr">
        <is>
          <t>DATE</t>
        </is>
      </c>
      <c r="B6" s="7" t="inlineStr">
        <is>
          <t>RÉFÉRENCE AFFAIRE / PIÈCE</t>
        </is>
      </c>
      <c r="C6" s="7" t="inlineStr">
        <is>
          <t>DESCRIPTION DU DÉFAUT / REBUT</t>
        </is>
      </c>
      <c r="D6" s="8" t="inlineStr">
        <is>
          <t>PROCESSUS D'ORIGINE DÉFAILLANT</t>
        </is>
      </c>
      <c r="E6" s="7" t="inlineStr">
        <is>
          <t>MATIÈRE JETÉE (€)</t>
        </is>
      </c>
      <c r="F6" s="8" t="inlineStr">
        <is>
          <t>HEURES RETOUCHE (H)</t>
        </is>
      </c>
      <c r="G6" s="8" t="inlineStr">
        <is>
          <t>TAUX MO (€/H)</t>
        </is>
      </c>
      <c r="H6" s="8" t="inlineStr">
        <is>
          <t>COÛT MO (€)</t>
        </is>
      </c>
      <c r="I6" s="8" t="inlineStr">
        <is>
          <t>FRAIS EXPRESS / LITIGE (€)</t>
        </is>
      </c>
      <c r="J6" s="8" t="inlineStr">
        <is>
          <t>COÛT TOTAL PERDU (€)</t>
        </is>
      </c>
      <c r="K6" s="7" t="inlineStr">
        <is>
          <t>ACTION CORRECTIVE ENGAGÉE</t>
        </is>
      </c>
    </row>
    <row r="7" ht="22" customHeight="1">
      <c r="A7" s="19" t="inlineStr">
        <is>
          <t>12/09/2026</t>
        </is>
      </c>
      <c r="B7" s="13" t="inlineStr">
        <is>
          <t>CMD-2026-889 • Bride alu</t>
        </is>
      </c>
      <c r="C7" s="14" t="inlineStr">
        <is>
          <t>Erreur cote d'alésage suite plan BE non révisé</t>
        </is>
      </c>
      <c r="D7" s="16" t="inlineStr">
        <is>
          <t>P3 R&amp;D / Bureau</t>
        </is>
      </c>
      <c r="E7" s="20" t="n">
        <v>240</v>
      </c>
      <c r="F7" s="37" t="n">
        <v>3.5</v>
      </c>
      <c r="G7" s="20">
        <f>$B$4</f>
        <v/>
      </c>
      <c r="H7" s="20">
        <f>F7*G7</f>
        <v/>
      </c>
      <c r="I7" s="20" t="n">
        <v>120</v>
      </c>
      <c r="J7" s="38">
        <f>E7+H7+I7</f>
        <v/>
      </c>
      <c r="K7" s="14" t="inlineStr">
        <is>
          <t>Trame 5P BE</t>
        </is>
      </c>
    </row>
    <row r="8" ht="22" customHeight="1">
      <c r="A8" s="24" t="inlineStr">
        <is>
          <t>15/09/2026</t>
        </is>
      </c>
      <c r="B8" s="9" t="inlineStr">
        <is>
          <t>CMD-2026-902 • Porte vitrée</t>
        </is>
      </c>
      <c r="C8" s="10" t="inlineStr">
        <is>
          <t>Rayure profonde lors du montage atelier</t>
        </is>
      </c>
      <c r="D8" s="12" t="inlineStr">
        <is>
          <t>P3 Atelier</t>
        </is>
      </c>
      <c r="E8" s="39" t="n">
        <v>180</v>
      </c>
      <c r="F8" s="40" t="n">
        <v>2</v>
      </c>
      <c r="G8" s="39">
        <f>$B$4</f>
        <v/>
      </c>
      <c r="H8" s="39">
        <f>F8*G8</f>
        <v/>
      </c>
      <c r="I8" s="39" t="n">
        <v>0</v>
      </c>
      <c r="J8" s="41">
        <f>E8+H8+I8</f>
        <v/>
      </c>
      <c r="K8" s="10" t="inlineStr">
        <is>
          <t>Protection mousse SOP</t>
        </is>
      </c>
    </row>
    <row r="9" ht="22" customHeight="1">
      <c r="A9" s="19" t="inlineStr">
        <is>
          <t>18/09/2026</t>
        </is>
      </c>
      <c r="B9" s="13" t="inlineStr">
        <is>
          <t>DEV-2026-412 • Ensemble mécano</t>
        </is>
      </c>
      <c r="C9" s="14" t="inlineStr">
        <is>
          <t>Oubli traitement de surface au devis</t>
        </is>
      </c>
      <c r="D9" s="16" t="inlineStr">
        <is>
          <t>P2 Commercial</t>
        </is>
      </c>
      <c r="E9" s="20" t="n">
        <v>0</v>
      </c>
      <c r="F9" s="37" t="n">
        <v>0</v>
      </c>
      <c r="G9" s="20">
        <f>$B$4</f>
        <v/>
      </c>
      <c r="H9" s="20">
        <f>F9*G9</f>
        <v/>
      </c>
      <c r="I9" s="20" t="n">
        <v>450</v>
      </c>
      <c r="J9" s="38">
        <f>E9+H9+I9</f>
        <v/>
      </c>
      <c r="K9" s="14" t="inlineStr">
        <is>
          <t>Grille 5 verrous devis</t>
        </is>
      </c>
    </row>
    <row r="10" ht="22" customHeight="1">
      <c r="A10" s="24" t="inlineStr">
        <is>
          <t>20/09/2026</t>
        </is>
      </c>
      <c r="B10" s="9" t="inlineStr">
        <is>
          <t>LOT-992 • Visserie inox</t>
        </is>
      </c>
      <c r="C10" s="10" t="inlineStr">
        <is>
          <t>Défaut matière fournisseur (filetage foiré)</t>
        </is>
      </c>
      <c r="D10" s="12" t="inlineStr">
        <is>
          <t>P5 Fournisseur</t>
        </is>
      </c>
      <c r="E10" s="39" t="n">
        <v>320</v>
      </c>
      <c r="F10" s="40" t="n">
        <v>1.5</v>
      </c>
      <c r="G10" s="39">
        <f>$B$4</f>
        <v/>
      </c>
      <c r="H10" s="39">
        <f>F10*G10</f>
        <v/>
      </c>
      <c r="I10" s="39" t="n">
        <v>80</v>
      </c>
      <c r="J10" s="41">
        <f>E10+H10+I10</f>
        <v/>
      </c>
      <c r="K10" s="10" t="inlineStr">
        <is>
          <t>Fiche de débit sous 48h</t>
        </is>
      </c>
    </row>
    <row r="11" ht="22" customHeight="1">
      <c r="A11" s="19" t="inlineStr">
        <is>
          <t>22/09/2026</t>
        </is>
      </c>
      <c r="B11" s="13" t="inlineStr">
        <is>
          <t>CMD-2026-945 • Câblage armoire</t>
        </is>
      </c>
      <c r="C11" s="14" t="inlineStr">
        <is>
          <t>Inversion de polarité au bornier</t>
        </is>
      </c>
      <c r="D11" s="16" t="inlineStr">
        <is>
          <t>P3 Atelier</t>
        </is>
      </c>
      <c r="E11" s="20" t="n">
        <v>45</v>
      </c>
      <c r="F11" s="37" t="n">
        <v>4</v>
      </c>
      <c r="G11" s="20">
        <f>$B$4</f>
        <v/>
      </c>
      <c r="H11" s="20">
        <f>F11*G11</f>
        <v/>
      </c>
      <c r="I11" s="20" t="n">
        <v>0</v>
      </c>
      <c r="J11" s="38">
        <f>E11+H11+I11</f>
        <v/>
      </c>
      <c r="K11" s="14" t="inlineStr">
        <is>
          <t>Poka-Yoke détrompeur</t>
        </is>
      </c>
    </row>
    <row r="12" ht="26" customHeight="1">
      <c r="A12" s="42" t="inlineStr">
        <is>
          <t>TOTAL DU MOIS CONSOLIDÉ</t>
        </is>
      </c>
      <c r="B12" s="43" t="n"/>
      <c r="C12" s="43" t="n"/>
      <c r="D12" s="43" t="n"/>
      <c r="E12" s="44">
        <f>SUM(E7:E11)</f>
        <v/>
      </c>
      <c r="F12" s="45">
        <f>SUM(F7:F11)</f>
        <v/>
      </c>
      <c r="G12" s="43" t="inlineStr"/>
      <c r="H12" s="44">
        <f>SUM(H7:H11)</f>
        <v/>
      </c>
      <c r="I12" s="44">
        <f>SUM(I7:I11)</f>
        <v/>
      </c>
      <c r="J12" s="46">
        <f>SUM(J7:J11)</f>
        <v/>
      </c>
      <c r="K12" s="43" t="inlineStr">
        <is>
          <t>Pertes nettes directes évitables</t>
        </is>
      </c>
    </row>
  </sheetData>
  <mergeCells count="3">
    <mergeCell ref="A2:K2"/>
    <mergeCell ref="A12:D1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 xml:space="preserve">  CABINET DELACOUR  •  GUIDE D'UTILISATION &amp; PRINCIPES DE PILOTAGE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 xml:space="preserve">  Mode d'emploi du Cockpit Souverain Cabinet Delacour • Principes de gouvernance et rituels d'équipe</t>
        </is>
      </c>
      <c r="B2" s="2" t="n"/>
      <c r="C2" s="2" t="n"/>
      <c r="D2" s="2" t="n"/>
      <c r="E2" s="2" t="n"/>
      <c r="F2" s="2" t="n"/>
    </row>
    <row r="4">
      <c r="A4" s="6" t="inlineStr">
        <is>
          <t>1. RITUEL DU LUNDI MATIN (ONGLET 01 - COCKPIT HEBDO)</t>
        </is>
      </c>
    </row>
    <row r="5">
      <c r="A5" s="47" t="inlineStr">
        <is>
          <t>• Quand ? Tous les lundis matin de 08h30 à 08h45 précises (15 minutes chrono).</t>
        </is>
      </c>
    </row>
    <row r="6">
      <c r="A6" s="47" t="inlineStr">
        <is>
          <t>• Qui participe ? Le Dirigeant (DG) et les 4 ou 5 responsables de pôles (Commerce, Atelier, RH, Qualité).</t>
        </is>
      </c>
    </row>
    <row r="7">
      <c r="A7" s="47" t="inlineStr">
        <is>
          <t>• Comment ? Debout devant l'écran partagé, lecture rapide des 5 chiffres froids.</t>
        </is>
      </c>
    </row>
    <row r="8">
      <c r="A8" s="48" t="inlineStr">
        <is>
          <t>• La règle absolue : ZÉRO débat technique en séance. Si un chiffre est rouge, on ne cherche pas à refaire le match :</t>
        </is>
      </c>
    </row>
    <row r="9">
      <c r="A9" s="47" t="inlineStr">
        <is>
          <t xml:space="preserve">  on acté immédiatement 1 ARBITRAGE MAJEUR (1 Problème = 1 Décision = 1 Responsable désigné pour vendredi 17h).</t>
        </is>
      </c>
    </row>
    <row r="11">
      <c r="A11" s="6" t="inlineStr">
        <is>
          <t>2. SUIVI MENSUEL &amp; ANNUEL (ONGLET 02 - 10 KPIS STRATÉGIQUES)</t>
        </is>
      </c>
    </row>
    <row r="12">
      <c r="A12" s="47" t="inlineStr">
        <is>
          <t>• Fréquence : Mis à jour une fois par mois lors du bouclage comptable et analytique.</t>
        </is>
      </c>
    </row>
    <row r="13">
      <c r="A13" s="47" t="inlineStr">
        <is>
          <t>• Équilibre Moteur / Garde-fou : Chaque processus dispose de 2 indicateurs qui s'équilibrent mutuellement</t>
        </is>
      </c>
    </row>
    <row r="14">
      <c r="A14" s="47" t="inlineStr">
        <is>
          <t xml:space="preserve">  (ex: chercher le CA sans sacrifier la marge, accélérer la production sans augmenter les rebuts).</t>
        </is>
      </c>
    </row>
    <row r="15">
      <c r="A15" s="47" t="inlineStr">
        <is>
          <t>• Analyse des écarts : Les barres de progression permettent de voir instantanément le taux d'atteinte de la cible annuelle.</t>
        </is>
      </c>
    </row>
    <row r="17">
      <c r="A17" s="6" t="inlineStr">
        <is>
          <t>3. SÉCURISATION DES HOMMES-CLÉS (ONGLET 03 - MATRICE DE POLYVALENCE)</t>
        </is>
      </c>
    </row>
    <row r="18">
      <c r="A18" s="47" t="inlineStr">
        <is>
          <t>• Objectif : Supprimer le risque mortel qu'un savoir-faire critique ne repose que sur une seule personne.</t>
        </is>
      </c>
    </row>
    <row r="19">
      <c r="A19" s="47" t="inlineStr">
        <is>
          <t>• Alerte rouge 🔴 : La matrice signale automatiquement dès qu'une compétence ne compte qu'un seul salarié autonome (Niveau &gt;= 3).</t>
        </is>
      </c>
    </row>
    <row r="20">
      <c r="A20" s="47" t="inlineStr">
        <is>
          <t>• Plan de doublage : Sanctuariser 2 heures de tutorat par semaine (ex: vendredi après-midi) pour former la doublure désignée.</t>
        </is>
      </c>
    </row>
    <row r="22">
      <c r="A22" s="6" t="inlineStr">
        <is>
          <t>4. CHIFFRAGE MINUTE DU COÛT DE NON-QUALITÉ (ONGLET 04)</t>
        </is>
      </c>
    </row>
    <row r="23">
      <c r="A23" s="48" t="inlineStr">
        <is>
          <t>• Règle d'or : « Tant qu'une erreur n'est pas chiffrée en euros, elle n'existe pas pour la direction. »</t>
        </is>
      </c>
    </row>
    <row r="24">
      <c r="A24" s="47" t="inlineStr">
        <is>
          <t>• Remplissage à chaud dès qu'un rebut ou une retouche dépasse 1 heure de travail ou 100 € de matière.</t>
        </is>
      </c>
    </row>
    <row r="25">
      <c r="A25" s="47" t="inlineStr">
        <is>
          <t>• Le taux horaire standard (par défaut 55 €/h) est paramétrable en cellule B4 selon la convention de l'entreprise.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2026-09-15T11:21:05Z</dcterms:created>
  <dcterms:modified xmlns:dcterms="http://purl.org/dc/terms/" xmlns:xsi="http://www.w3.org/2001/XMLSchema-instance" xsi:type="dcterms:W3CDTF">2026-09-15T11:21:05Z</dcterms:modified>
</cp:coreProperties>
</file>